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01" documentId="11_FBB13A383672F22DA2810887E64D796D56A169C2" xr6:coauthVersionLast="47" xr6:coauthVersionMax="47" xr10:uidLastSave="{2F2AB807-404B-4F02-B872-4C696B907A65}"/>
  <bookViews>
    <workbookView xWindow="0" yWindow="0" windowWidth="0" windowHeight="0" xr2:uid="{00000000-000D-0000-FFFF-FFFF00000000}"/>
  </bookViews>
  <sheets>
    <sheet name="Feedforward_ReLU_basic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F23" i="1" s="1"/>
  <c r="D23" i="1"/>
  <c r="E23" i="1"/>
  <c r="G23" i="1" s="1"/>
  <c r="B24" i="1"/>
  <c r="C24" i="1"/>
  <c r="F24" i="1" s="1"/>
  <c r="D24" i="1"/>
  <c r="E24" i="1"/>
  <c r="G24" i="1" s="1"/>
  <c r="B25" i="1"/>
  <c r="C25" i="1"/>
  <c r="F25" i="1" s="1"/>
  <c r="D25" i="1"/>
  <c r="E25" i="1"/>
  <c r="G25" i="1" s="1"/>
  <c r="B26" i="1"/>
  <c r="C26" i="1"/>
  <c r="F26" i="1" s="1"/>
  <c r="D26" i="1"/>
  <c r="E26" i="1"/>
  <c r="G26" i="1" s="1"/>
  <c r="B27" i="1"/>
  <c r="C27" i="1"/>
  <c r="F27" i="1" s="1"/>
  <c r="D27" i="1"/>
  <c r="E27" i="1"/>
  <c r="G27" i="1" s="1"/>
  <c r="B28" i="1"/>
  <c r="C28" i="1"/>
  <c r="F28" i="1" s="1"/>
  <c r="D28" i="1"/>
  <c r="E28" i="1"/>
  <c r="G28" i="1" s="1"/>
  <c r="B29" i="1"/>
  <c r="C29" i="1"/>
  <c r="F29" i="1" s="1"/>
  <c r="D29" i="1"/>
  <c r="E29" i="1"/>
  <c r="G29" i="1" s="1"/>
  <c r="B30" i="1"/>
  <c r="C30" i="1"/>
  <c r="F30" i="1" s="1"/>
  <c r="D30" i="1"/>
  <c r="E30" i="1"/>
  <c r="G30" i="1" s="1"/>
  <c r="B31" i="1"/>
  <c r="C31" i="1"/>
  <c r="F31" i="1" s="1"/>
  <c r="D31" i="1"/>
  <c r="E31" i="1"/>
  <c r="G31" i="1" s="1"/>
  <c r="B32" i="1"/>
  <c r="C32" i="1"/>
  <c r="F32" i="1" s="1"/>
  <c r="D32" i="1"/>
  <c r="E32" i="1"/>
  <c r="G32" i="1" s="1"/>
  <c r="D22" i="1"/>
  <c r="E22" i="1" s="1"/>
  <c r="G22" i="1" s="1"/>
  <c r="B22" i="1"/>
  <c r="C22" i="1" s="1"/>
  <c r="F22" i="1" s="1"/>
  <c r="H22" i="1" s="1"/>
  <c r="H32" i="1" l="1"/>
  <c r="H31" i="1"/>
  <c r="H30" i="1"/>
  <c r="H29" i="1"/>
  <c r="H28" i="1"/>
  <c r="H27" i="1"/>
  <c r="H26" i="1"/>
  <c r="H25" i="1"/>
  <c r="H24" i="1"/>
  <c r="H23" i="1"/>
</calcChain>
</file>

<file path=xl/sharedStrings.xml><?xml version="1.0" encoding="utf-8"?>
<sst xmlns="http://schemas.openxmlformats.org/spreadsheetml/2006/main" count="27" uniqueCount="26">
  <si>
    <t>Dose x</t>
  </si>
  <si>
    <t>Effectiveness t</t>
  </si>
  <si>
    <t>0.0</t>
  </si>
  <si>
    <t>0.1</t>
  </si>
  <si>
    <t>0.2</t>
  </si>
  <si>
    <t>0.4</t>
  </si>
  <si>
    <t>0.5</t>
  </si>
  <si>
    <t>0.6</t>
  </si>
  <si>
    <t>0.8</t>
  </si>
  <si>
    <t>0.9</t>
  </si>
  <si>
    <t>1.0</t>
  </si>
  <si>
    <t>z_up = x*w_up + b_up</t>
  </si>
  <si>
    <t>a_up = ReLU(z_up)</t>
  </si>
  <si>
    <t>z_down = x*w_down + b_down</t>
  </si>
  <si>
    <t>a_down = ReLU(z_down)</t>
  </si>
  <si>
    <t>out_up=a_up*w_out_up</t>
  </si>
  <si>
    <t>out_down=a_down*w_out_down</t>
  </si>
  <si>
    <t>y = a_up*w_out_up + a_down*w_out_down</t>
  </si>
  <si>
    <t>Weights &amp; biases (edit these)</t>
  </si>
  <si>
    <t>w_up</t>
  </si>
  <si>
    <t>b_up</t>
  </si>
  <si>
    <t>w_down</t>
  </si>
  <si>
    <t>b_down</t>
  </si>
  <si>
    <t>w_out_up</t>
  </si>
  <si>
    <t>w_out_down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</si>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</sst>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F7FF"/>
        <bgColor rgb="FFE6F7FF"/>
      </patternFill>
    </fill>
    <fill>
      <patternFill patternType="solid">
        <fgColor rgb="FFE8FFE8"/>
        <bgColor rgb="FFE8FFE8"/>
      </patternFill>
    </fill>
    <fill>
      <patternFill patternType="solid">
        <fgColor rgb="FFFFE6F2"/>
        <bgColor rgb="FFFFE6F2"/>
      </patternFill>
    </fill>
    <fill>
      <patternFill patternType="solid">
        <fgColor rgb="FFFFFCE5"/>
        <bgColor rgb="FFFFFC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ReLU bent lines and output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Feedforward_ReLU_basics!C21</c:f>
              <c:strCache>
                <c:ptCount val="1"/>
                <c:pt idx="0">
                  <c:v>a_up = ReLU(z_up)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Feedforward_ReLU_basics!$C$22:$C$32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0.10499999999999998</c:v>
                </c:pt>
                <c:pt idx="6">
                  <c:v>0.248</c:v>
                </c:pt>
                <c:pt idx="7">
                  <c:v>0.3909999999999999</c:v>
                </c:pt>
                <c:pt idx="8">
                  <c:v>0.53399999999999992</c:v>
                </c:pt>
                <c:pt idx="9">
                  <c:v>0.67699999999999994</c:v>
                </c:pt>
                <c:pt idx="1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1-411C-9B36-1BE167FBE75C}"/>
            </c:ext>
          </c:extLst>
        </c:ser>
        <c:ser>
          <c:idx val="2"/>
          <c:order val="1"/>
          <c:tx>
            <c:strRef>
              <c:f>Feedforward_ReLU_basics!E21</c:f>
              <c:strCache>
                <c:ptCount val="1"/>
                <c:pt idx="0">
                  <c:v>a_down = ReLU(z_down)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Feedforward_ReLU_basics!$E$22:$E$32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0.25600000000000001</c:v>
                </c:pt>
                <c:pt idx="3">
                  <c:v>0.51899999999999991</c:v>
                </c:pt>
                <c:pt idx="4">
                  <c:v>0.78200000000000003</c:v>
                </c:pt>
                <c:pt idx="5">
                  <c:v>1.0449999999999999</c:v>
                </c:pt>
                <c:pt idx="6">
                  <c:v>1.3079999999999998</c:v>
                </c:pt>
                <c:pt idx="7">
                  <c:v>1.5709999999999997</c:v>
                </c:pt>
                <c:pt idx="8">
                  <c:v>1.8340000000000001</c:v>
                </c:pt>
                <c:pt idx="9">
                  <c:v>2.097</c:v>
                </c:pt>
                <c:pt idx="10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1-411C-9B36-1BE167FBE75C}"/>
            </c:ext>
          </c:extLst>
        </c:ser>
        <c:ser>
          <c:idx val="3"/>
          <c:order val="2"/>
          <c:tx>
            <c:strRef>
              <c:f>Feedforward_ReLU_basics!H21</c:f>
              <c:strCache>
                <c:ptCount val="1"/>
                <c:pt idx="0">
                  <c:v>y = a_up*w_out_up + a_down*w_out_down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Feedforward_ReLU_basics!$H$22:$H$32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0.34560000000000002</c:v>
                </c:pt>
                <c:pt idx="3">
                  <c:v>0.70064999999999988</c:v>
                </c:pt>
                <c:pt idx="4">
                  <c:v>1.0557000000000001</c:v>
                </c:pt>
                <c:pt idx="5">
                  <c:v>1.0023</c:v>
                </c:pt>
                <c:pt idx="6">
                  <c:v>0.80107999999999979</c:v>
                </c:pt>
                <c:pt idx="7">
                  <c:v>0.59986000000000028</c:v>
                </c:pt>
                <c:pt idx="8">
                  <c:v>0.39864000000000033</c:v>
                </c:pt>
                <c:pt idx="9">
                  <c:v>0.19742000000000015</c:v>
                </c:pt>
                <c:pt idx="10">
                  <c:v>-3.8000000000000256E-3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1-411C-9B36-1BE167FBE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Activation / Output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Feedforward_ReLU_basics!$F$22:$F$32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-0.40844999999999992</c:v>
                </c:pt>
                <c:pt idx="6">
                  <c:v>-0.96472000000000002</c:v>
                </c:pt>
                <c:pt idx="7">
                  <c:v>-1.5209899999999996</c:v>
                </c:pt>
                <c:pt idx="8">
                  <c:v>-2.0772599999999999</c:v>
                </c:pt>
                <c:pt idx="9">
                  <c:v>-2.6335299999999999</c:v>
                </c:pt>
                <c:pt idx="10">
                  <c:v>-3.1898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C-42BC-BD09-2F778C68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66567"/>
        <c:axId val="33668615"/>
      </c:lineChart>
      <c:catAx>
        <c:axId val="33666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8615"/>
        <c:crosses val="autoZero"/>
        <c:auto val="1"/>
        <c:lblAlgn val="ctr"/>
        <c:lblOffset val="100"/>
        <c:noMultiLvlLbl val="0"/>
      </c:catAx>
      <c:valAx>
        <c:axId val="33668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6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Feedforward_ReLU_basics!$G$22:$G$32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0.34560000000000002</c:v>
                </c:pt>
                <c:pt idx="3">
                  <c:v>0.70064999999999988</c:v>
                </c:pt>
                <c:pt idx="4">
                  <c:v>1.0557000000000001</c:v>
                </c:pt>
                <c:pt idx="5">
                  <c:v>1.4107499999999999</c:v>
                </c:pt>
                <c:pt idx="6">
                  <c:v>1.7657999999999998</c:v>
                </c:pt>
                <c:pt idx="7">
                  <c:v>2.1208499999999999</c:v>
                </c:pt>
                <c:pt idx="8">
                  <c:v>2.4759000000000002</c:v>
                </c:pt>
                <c:pt idx="9">
                  <c:v>2.8309500000000001</c:v>
                </c:pt>
                <c:pt idx="10">
                  <c:v>3.1859999999999999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E-4D49-A1FE-7FC30C595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446151"/>
        <c:axId val="37831175"/>
      </c:lineChart>
      <c:catAx>
        <c:axId val="325446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1175"/>
        <c:crosses val="autoZero"/>
        <c:auto val="1"/>
        <c:lblAlgn val="ctr"/>
        <c:lblOffset val="100"/>
        <c:noMultiLvlLbl val="0"/>
      </c:catAx>
      <c:valAx>
        <c:axId val="3783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46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Sum_outputs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Feedforward_ReLU_basics!$H$22:$H$32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0.34560000000000002</c:v>
                </c:pt>
                <c:pt idx="3">
                  <c:v>0.70064999999999988</c:v>
                </c:pt>
                <c:pt idx="4">
                  <c:v>1.0557000000000001</c:v>
                </c:pt>
                <c:pt idx="5">
                  <c:v>1.0023</c:v>
                </c:pt>
                <c:pt idx="6">
                  <c:v>0.80107999999999979</c:v>
                </c:pt>
                <c:pt idx="7">
                  <c:v>0.59986000000000028</c:v>
                </c:pt>
                <c:pt idx="8">
                  <c:v>0.39864000000000033</c:v>
                </c:pt>
                <c:pt idx="9">
                  <c:v>0.19742000000000015</c:v>
                </c:pt>
                <c:pt idx="10">
                  <c:v>-3.8000000000000256E-3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C-4C9A-B469-9A04E002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247239"/>
        <c:axId val="37860871"/>
      </c:lineChart>
      <c:catAx>
        <c:axId val="601247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0871"/>
        <c:crosses val="autoZero"/>
        <c:auto val="1"/>
        <c:lblAlgn val="ctr"/>
        <c:lblOffset val="100"/>
        <c:noMultiLvlLbl val="0"/>
      </c:catAx>
      <c:valAx>
        <c:axId val="37860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47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(w+b)_up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Feedforward_ReLU_basics!$B$22:$B$32</c:f>
              <c:numCache>
                <c:formatCode>General</c:formatCode>
                <c:ptCount val="11"/>
                <c:pt idx="0">
                  <c:v>-0.61</c:v>
                </c:pt>
                <c:pt idx="1">
                  <c:v>-0.46699999999999997</c:v>
                </c:pt>
                <c:pt idx="2">
                  <c:v>-0.32400000000000001</c:v>
                </c:pt>
                <c:pt idx="3">
                  <c:v>-0.18099999999999999</c:v>
                </c:pt>
                <c:pt idx="4">
                  <c:v>-3.8000000000000034E-2</c:v>
                </c:pt>
                <c:pt idx="5">
                  <c:v>0.10499999999999998</c:v>
                </c:pt>
                <c:pt idx="6">
                  <c:v>0.248</c:v>
                </c:pt>
                <c:pt idx="7">
                  <c:v>0.3909999999999999</c:v>
                </c:pt>
                <c:pt idx="8">
                  <c:v>0.53399999999999992</c:v>
                </c:pt>
                <c:pt idx="9">
                  <c:v>0.67699999999999994</c:v>
                </c:pt>
                <c:pt idx="1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7-4A94-8EE4-6CA76D5F8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829320"/>
        <c:axId val="2138831368"/>
      </c:lineChart>
      <c:catAx>
        <c:axId val="2138829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31368"/>
        <c:crosses val="autoZero"/>
        <c:auto val="1"/>
        <c:lblAlgn val="ctr"/>
        <c:lblOffset val="100"/>
        <c:noMultiLvlLbl val="0"/>
      </c:catAx>
      <c:valAx>
        <c:axId val="213883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2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Feedforward_ReLU_basics!$C$22:$C$32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0.10499999999999998</c:v>
                </c:pt>
                <c:pt idx="6">
                  <c:v>0.248</c:v>
                </c:pt>
                <c:pt idx="7">
                  <c:v>0.3909999999999999</c:v>
                </c:pt>
                <c:pt idx="8">
                  <c:v>0.53399999999999992</c:v>
                </c:pt>
                <c:pt idx="9">
                  <c:v>0.67699999999999994</c:v>
                </c:pt>
                <c:pt idx="1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E-4AFA-8521-9262F81F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245768"/>
        <c:axId val="2136247816"/>
      </c:lineChart>
      <c:catAx>
        <c:axId val="2136245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47816"/>
        <c:crosses val="autoZero"/>
        <c:auto val="1"/>
        <c:lblAlgn val="ctr"/>
        <c:lblOffset val="100"/>
        <c:noMultiLvlLbl val="0"/>
      </c:catAx>
      <c:valAx>
        <c:axId val="213624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4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(w+b)_down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Feedforward_ReLU_basics!$D$22:$D$32</c:f>
              <c:numCache>
                <c:formatCode>General</c:formatCode>
                <c:ptCount val="11"/>
                <c:pt idx="0">
                  <c:v>-0.27</c:v>
                </c:pt>
                <c:pt idx="1">
                  <c:v>-7.0000000000000062E-3</c:v>
                </c:pt>
                <c:pt idx="2">
                  <c:v>0.25600000000000001</c:v>
                </c:pt>
                <c:pt idx="3">
                  <c:v>0.51899999999999991</c:v>
                </c:pt>
                <c:pt idx="4">
                  <c:v>0.78200000000000003</c:v>
                </c:pt>
                <c:pt idx="5">
                  <c:v>1.0449999999999999</c:v>
                </c:pt>
                <c:pt idx="6">
                  <c:v>1.3079999999999998</c:v>
                </c:pt>
                <c:pt idx="7">
                  <c:v>1.5709999999999997</c:v>
                </c:pt>
                <c:pt idx="8">
                  <c:v>1.8340000000000001</c:v>
                </c:pt>
                <c:pt idx="9">
                  <c:v>2.097</c:v>
                </c:pt>
                <c:pt idx="10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8-464F-A0EE-9C038260C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5799"/>
        <c:axId val="33187847"/>
      </c:lineChart>
      <c:catAx>
        <c:axId val="33185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7847"/>
        <c:crosses val="autoZero"/>
        <c:auto val="1"/>
        <c:lblAlgn val="ctr"/>
        <c:lblOffset val="100"/>
        <c:noMultiLvlLbl val="0"/>
      </c:catAx>
      <c:valAx>
        <c:axId val="3318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5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Feedforward_ReLU_basics!$E$22:$E$32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0.25600000000000001</c:v>
                </c:pt>
                <c:pt idx="3">
                  <c:v>0.51899999999999991</c:v>
                </c:pt>
                <c:pt idx="4">
                  <c:v>0.78200000000000003</c:v>
                </c:pt>
                <c:pt idx="5">
                  <c:v>1.0449999999999999</c:v>
                </c:pt>
                <c:pt idx="6">
                  <c:v>1.3079999999999998</c:v>
                </c:pt>
                <c:pt idx="7">
                  <c:v>1.5709999999999997</c:v>
                </c:pt>
                <c:pt idx="8">
                  <c:v>1.8340000000000001</c:v>
                </c:pt>
                <c:pt idx="9">
                  <c:v>2.097</c:v>
                </c:pt>
                <c:pt idx="10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5-4C15-AF0C-36009989E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847495"/>
        <c:axId val="334853639"/>
      </c:lineChart>
      <c:catAx>
        <c:axId val="334847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53639"/>
        <c:crosses val="autoZero"/>
        <c:auto val="1"/>
        <c:lblAlgn val="ctr"/>
        <c:lblOffset val="100"/>
        <c:noMultiLvlLbl val="0"/>
      </c:catAx>
      <c:valAx>
        <c:axId val="33485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47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Feedforward_ReLU_basics!$B$1</c:f>
              <c:strCache>
                <c:ptCount val="1"/>
                <c:pt idx="0">
                  <c:v>Effectiveness 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Feedforward_ReLU_basics!$A$2:$A$10</c:f>
              <c:strCache>
                <c:ptCount val="9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  <c:pt idx="7">
                  <c:v>0.9</c:v>
                </c:pt>
                <c:pt idx="8">
                  <c:v>1.0</c:v>
                </c:pt>
              </c:strCache>
            </c:strRef>
          </c:xVal>
          <c:yVal>
            <c:numRef>
              <c:f>Feedforward_ReLU_basics!$B$2:$B$10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7-4A2B-93E8-6518F3A3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80903"/>
        <c:axId val="65176583"/>
      </c:scatterChart>
      <c:valAx>
        <c:axId val="3368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6583"/>
        <c:crosses val="autoZero"/>
        <c:crossBetween val="midCat"/>
      </c:valAx>
      <c:valAx>
        <c:axId val="65176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0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1285875</xdr:colOff>
      <xdr:row>31</xdr:row>
      <xdr:rowOff>133350</xdr:rowOff>
    </xdr:from>
    <xdr:ext cx="90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1066800</xdr:colOff>
      <xdr:row>51</xdr:row>
      <xdr:rowOff>171450</xdr:rowOff>
    </xdr:from>
    <xdr:to>
      <xdr:col>6</xdr:col>
      <xdr:colOff>485775</xdr:colOff>
      <xdr:row>66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B8746-555C-04DB-E499-B08ED147EA3D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51</xdr:row>
      <xdr:rowOff>142875</xdr:rowOff>
    </xdr:from>
    <xdr:to>
      <xdr:col>3</xdr:col>
      <xdr:colOff>657225</xdr:colOff>
      <xdr:row>66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7FEDB1-196E-3240-CBC3-9503A9FC7F27}"/>
            </a:ext>
            <a:ext uri="{147F2762-F138-4A5C-976F-8EAC2B608ADB}">
              <a16:predDERef xmlns:a16="http://schemas.microsoft.com/office/drawing/2014/main" pred="{607B8746-555C-04DB-E499-B08ED147E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1447800</xdr:colOff>
      <xdr:row>51</xdr:row>
      <xdr:rowOff>76200</xdr:rowOff>
    </xdr:from>
    <xdr:to>
      <xdr:col>9</xdr:col>
      <xdr:colOff>314325</xdr:colOff>
      <xdr:row>65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6F2609-CB03-6450-1A6F-C71B994E5090}"/>
            </a:ext>
            <a:ext uri="{147F2762-F138-4A5C-976F-8EAC2B608ADB}">
              <a16:predDERef xmlns:a16="http://schemas.microsoft.com/office/drawing/2014/main" pred="{6C7FEDB1-196E-3240-CBC3-9503A9FC7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33</xdr:row>
      <xdr:rowOff>180975</xdr:rowOff>
    </xdr:from>
    <xdr:to>
      <xdr:col>3</xdr:col>
      <xdr:colOff>752475</xdr:colOff>
      <xdr:row>48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BA4D20-8B29-374A-3C23-AF654A7626A1}"/>
            </a:ext>
            <a:ext uri="{147F2762-F138-4A5C-976F-8EAC2B608ADB}">
              <a16:predDERef xmlns:a16="http://schemas.microsoft.com/office/drawing/2014/main" pred="{846F2609-CB03-6450-1A6F-C71B994E5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1143000</xdr:colOff>
      <xdr:row>34</xdr:row>
      <xdr:rowOff>47625</xdr:rowOff>
    </xdr:from>
    <xdr:to>
      <xdr:col>6</xdr:col>
      <xdr:colOff>561975</xdr:colOff>
      <xdr:row>48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E2FA6C-0251-A80D-BD77-42357894F65B}"/>
            </a:ext>
            <a:ext uri="{147F2762-F138-4A5C-976F-8EAC2B608ADB}">
              <a16:predDERef xmlns:a16="http://schemas.microsoft.com/office/drawing/2014/main" pred="{10BA4D20-8B29-374A-3C23-AF654A762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847725</xdr:colOff>
      <xdr:row>33</xdr:row>
      <xdr:rowOff>133350</xdr:rowOff>
    </xdr:from>
    <xdr:to>
      <xdr:col>8</xdr:col>
      <xdr:colOff>1047750</xdr:colOff>
      <xdr:row>48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2CDA82-0CBD-409F-505D-565207802A36}"/>
            </a:ext>
            <a:ext uri="{147F2762-F138-4A5C-976F-8EAC2B608ADB}">
              <a16:predDERef xmlns:a16="http://schemas.microsoft.com/office/drawing/2014/main" pred="{EFE2FA6C-0251-A80D-BD77-42357894F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1276350</xdr:colOff>
      <xdr:row>33</xdr:row>
      <xdr:rowOff>104775</xdr:rowOff>
    </xdr:from>
    <xdr:to>
      <xdr:col>14</xdr:col>
      <xdr:colOff>447675</xdr:colOff>
      <xdr:row>47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535118-0835-ECC3-BB47-81C6408D6428}"/>
            </a:ext>
            <a:ext uri="{147F2762-F138-4A5C-976F-8EAC2B608ADB}">
              <a16:predDERef xmlns:a16="http://schemas.microsoft.com/office/drawing/2014/main" pred="{F42CDA82-0CBD-409F-505D-565207802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1000125</xdr:colOff>
      <xdr:row>0</xdr:row>
      <xdr:rowOff>142875</xdr:rowOff>
    </xdr:from>
    <xdr:to>
      <xdr:col>5</xdr:col>
      <xdr:colOff>800100</xdr:colOff>
      <xdr:row>15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CED29A-80CE-67CD-101E-0CC1BB274989}"/>
            </a:ext>
            <a:ext uri="{147F2762-F138-4A5C-976F-8EAC2B608ADB}">
              <a16:predDERef xmlns:a16="http://schemas.microsoft.com/office/drawing/2014/main" pred="{79535118-0835-ECC3-BB47-81C6408D6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E18" workbookViewId="0">
      <selection activeCell="T58" sqref="T58"/>
    </sheetView>
  </sheetViews>
  <sheetFormatPr defaultRowHeight="15"/>
  <cols>
    <col min="1" max="1" width="20" customWidth="1"/>
    <col min="2" max="2" width="21.28515625" bestFit="1" customWidth="1"/>
    <col min="3" max="3" width="18" bestFit="1" customWidth="1"/>
    <col min="4" max="4" width="29.85546875" bestFit="1" customWidth="1"/>
    <col min="5" max="5" width="23.7109375" bestFit="1" customWidth="1"/>
    <col min="6" max="7" width="23.7109375" customWidth="1"/>
    <col min="8" max="8" width="41.85546875" bestFit="1" customWidth="1"/>
    <col min="9" max="9" width="20" customWidth="1"/>
    <col min="10" max="10" width="27.7109375" bestFit="1" customWidth="1"/>
    <col min="11" max="11" width="5.85546875" bestFit="1" customWidth="1"/>
  </cols>
  <sheetData>
    <row r="1" spans="1:2">
      <c r="A1" s="8" t="s">
        <v>0</v>
      </c>
      <c r="B1" s="8" t="s">
        <v>1</v>
      </c>
    </row>
    <row r="2" spans="1:2">
      <c r="A2" t="s">
        <v>2</v>
      </c>
      <c r="B2" s="8">
        <v>0</v>
      </c>
    </row>
    <row r="3" spans="1:2">
      <c r="A3" t="s">
        <v>3</v>
      </c>
      <c r="B3" s="8">
        <v>0</v>
      </c>
    </row>
    <row r="4" spans="1:2">
      <c r="A4" t="s">
        <v>4</v>
      </c>
      <c r="B4" s="8">
        <v>0</v>
      </c>
    </row>
    <row r="5" spans="1:2">
      <c r="A5" t="s">
        <v>5</v>
      </c>
      <c r="B5" s="8">
        <v>1</v>
      </c>
    </row>
    <row r="6" spans="1:2">
      <c r="A6" t="s">
        <v>6</v>
      </c>
      <c r="B6" s="8">
        <v>1</v>
      </c>
    </row>
    <row r="7" spans="1:2">
      <c r="A7" t="s">
        <v>7</v>
      </c>
      <c r="B7" s="8">
        <v>1</v>
      </c>
    </row>
    <row r="8" spans="1:2">
      <c r="A8" t="s">
        <v>8</v>
      </c>
      <c r="B8" s="8">
        <v>0</v>
      </c>
    </row>
    <row r="9" spans="1:2">
      <c r="A9" t="s">
        <v>9</v>
      </c>
      <c r="B9" s="8">
        <v>0</v>
      </c>
    </row>
    <row r="10" spans="1:2">
      <c r="A10" t="s">
        <v>10</v>
      </c>
      <c r="B10" s="8">
        <v>0</v>
      </c>
    </row>
    <row r="21" spans="1:11">
      <c r="A21" s="1" t="s">
        <v>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J21" s="2" t="s">
        <v>18</v>
      </c>
    </row>
    <row r="22" spans="1:11">
      <c r="A22" s="3">
        <v>0</v>
      </c>
      <c r="B22" s="4">
        <f>A22*$K$22+$K$23</f>
        <v>-0.61</v>
      </c>
      <c r="C22" s="4">
        <f>MAX(0,B22)</f>
        <v>0</v>
      </c>
      <c r="D22" s="4">
        <f>A22*$K$24+$K$25</f>
        <v>-0.27</v>
      </c>
      <c r="E22" s="4">
        <f>MAX(0,D22)</f>
        <v>0</v>
      </c>
      <c r="F22" s="4">
        <f>C22*K$26</f>
        <v>0</v>
      </c>
      <c r="G22" s="4">
        <f>E22*K$27</f>
        <v>0</v>
      </c>
      <c r="H22" s="5">
        <f>F22+G22</f>
        <v>0</v>
      </c>
      <c r="J22" s="2" t="s">
        <v>19</v>
      </c>
      <c r="K22" s="6">
        <v>1.43</v>
      </c>
    </row>
    <row r="23" spans="1:11">
      <c r="A23" s="3">
        <v>0.1</v>
      </c>
      <c r="B23" s="4">
        <f>A23*$K$22+$K$23</f>
        <v>-0.46699999999999997</v>
      </c>
      <c r="C23" s="4">
        <f t="shared" ref="C23:C32" si="0">MAX(0,B23)</f>
        <v>0</v>
      </c>
      <c r="D23" s="4">
        <f>A23*$K$24+$K$25</f>
        <v>-7.0000000000000062E-3</v>
      </c>
      <c r="E23" s="4">
        <f t="shared" ref="E23:E32" si="1">MAX(0,D23)</f>
        <v>0</v>
      </c>
      <c r="F23" s="4">
        <f>C23*K$26</f>
        <v>0</v>
      </c>
      <c r="G23" s="4">
        <f>E23*K$27</f>
        <v>0</v>
      </c>
      <c r="H23" s="5">
        <f t="shared" ref="H23:H32" si="2">F23+G23</f>
        <v>0</v>
      </c>
      <c r="J23" s="2" t="s">
        <v>20</v>
      </c>
      <c r="K23" s="6">
        <v>-0.61</v>
      </c>
    </row>
    <row r="24" spans="1:11">
      <c r="A24" s="3">
        <v>0.2</v>
      </c>
      <c r="B24" s="4">
        <f>A24*$K$22+$K$23</f>
        <v>-0.32400000000000001</v>
      </c>
      <c r="C24" s="4">
        <f t="shared" si="0"/>
        <v>0</v>
      </c>
      <c r="D24" s="4">
        <f>A24*$K$24+$K$25</f>
        <v>0.25600000000000001</v>
      </c>
      <c r="E24" s="4">
        <f t="shared" si="1"/>
        <v>0.25600000000000001</v>
      </c>
      <c r="F24" s="4">
        <f>C24*K$26</f>
        <v>0</v>
      </c>
      <c r="G24" s="4">
        <f>E24*K$27</f>
        <v>0.34560000000000002</v>
      </c>
      <c r="H24" s="5">
        <f t="shared" si="2"/>
        <v>0.34560000000000002</v>
      </c>
      <c r="J24" s="2" t="s">
        <v>21</v>
      </c>
      <c r="K24" s="6">
        <v>2.63</v>
      </c>
    </row>
    <row r="25" spans="1:11">
      <c r="A25" s="3">
        <v>0.3</v>
      </c>
      <c r="B25" s="4">
        <f>A25*$K$22+$K$23</f>
        <v>-0.18099999999999999</v>
      </c>
      <c r="C25" s="4">
        <f t="shared" si="0"/>
        <v>0</v>
      </c>
      <c r="D25" s="4">
        <f>A25*$K$24+$K$25</f>
        <v>0.51899999999999991</v>
      </c>
      <c r="E25" s="4">
        <f t="shared" si="1"/>
        <v>0.51899999999999991</v>
      </c>
      <c r="F25" s="4">
        <f>C25*K$26</f>
        <v>0</v>
      </c>
      <c r="G25" s="4">
        <f>E25*K$27</f>
        <v>0.70064999999999988</v>
      </c>
      <c r="H25" s="5">
        <f t="shared" si="2"/>
        <v>0.70064999999999988</v>
      </c>
      <c r="J25" s="2" t="s">
        <v>22</v>
      </c>
      <c r="K25" s="6">
        <v>-0.27</v>
      </c>
    </row>
    <row r="26" spans="1:11">
      <c r="A26" s="3">
        <v>0.4</v>
      </c>
      <c r="B26" s="4">
        <f>A26*$K$22+$K$23</f>
        <v>-3.8000000000000034E-2</v>
      </c>
      <c r="C26" s="4">
        <f t="shared" si="0"/>
        <v>0</v>
      </c>
      <c r="D26" s="4">
        <f>A26*$K$24+$K$25</f>
        <v>0.78200000000000003</v>
      </c>
      <c r="E26" s="4">
        <f t="shared" si="1"/>
        <v>0.78200000000000003</v>
      </c>
      <c r="F26" s="4">
        <f>C26*K$26</f>
        <v>0</v>
      </c>
      <c r="G26" s="4">
        <f>E26*K$27</f>
        <v>1.0557000000000001</v>
      </c>
      <c r="H26" s="5">
        <f t="shared" si="2"/>
        <v>1.0557000000000001</v>
      </c>
      <c r="J26" s="2" t="s">
        <v>23</v>
      </c>
      <c r="K26" s="6">
        <v>-3.89</v>
      </c>
    </row>
    <row r="27" spans="1:11">
      <c r="A27" s="3">
        <v>0.5</v>
      </c>
      <c r="B27" s="4">
        <f>A27*$K$22+$K$23</f>
        <v>0.10499999999999998</v>
      </c>
      <c r="C27" s="4">
        <f t="shared" si="0"/>
        <v>0.10499999999999998</v>
      </c>
      <c r="D27" s="4">
        <f>A27*$K$24+$K$25</f>
        <v>1.0449999999999999</v>
      </c>
      <c r="E27" s="4">
        <f t="shared" si="1"/>
        <v>1.0449999999999999</v>
      </c>
      <c r="F27" s="4">
        <f>C27*K$26</f>
        <v>-0.40844999999999992</v>
      </c>
      <c r="G27" s="4">
        <f>E27*K$27</f>
        <v>1.4107499999999999</v>
      </c>
      <c r="H27" s="5">
        <f t="shared" si="2"/>
        <v>1.0023</v>
      </c>
      <c r="J27" s="2" t="s">
        <v>24</v>
      </c>
      <c r="K27" s="6">
        <v>1.35</v>
      </c>
    </row>
    <row r="28" spans="1:11">
      <c r="A28" s="3">
        <v>0.6</v>
      </c>
      <c r="B28" s="4">
        <f>A28*$K$22+$K$23</f>
        <v>0.248</v>
      </c>
      <c r="C28" s="4">
        <f t="shared" si="0"/>
        <v>0.248</v>
      </c>
      <c r="D28" s="4">
        <f>A28*$K$24+$K$25</f>
        <v>1.3079999999999998</v>
      </c>
      <c r="E28" s="4">
        <f t="shared" si="1"/>
        <v>1.3079999999999998</v>
      </c>
      <c r="F28" s="4">
        <f>C28*K$26</f>
        <v>-0.96472000000000002</v>
      </c>
      <c r="G28" s="4">
        <f>E28*K$27</f>
        <v>1.7657999999999998</v>
      </c>
      <c r="H28" s="5">
        <f t="shared" si="2"/>
        <v>0.80107999999999979</v>
      </c>
    </row>
    <row r="29" spans="1:11">
      <c r="A29" s="3">
        <v>0.7</v>
      </c>
      <c r="B29" s="4">
        <f>A29*$K$22+$K$23</f>
        <v>0.3909999999999999</v>
      </c>
      <c r="C29" s="4">
        <f t="shared" si="0"/>
        <v>0.3909999999999999</v>
      </c>
      <c r="D29" s="4">
        <f>A29*$K$24+$K$25</f>
        <v>1.5709999999999997</v>
      </c>
      <c r="E29" s="4">
        <f t="shared" si="1"/>
        <v>1.5709999999999997</v>
      </c>
      <c r="F29" s="4">
        <f>C29*K$26</f>
        <v>-1.5209899999999996</v>
      </c>
      <c r="G29" s="4">
        <f>E29*K$27</f>
        <v>2.1208499999999999</v>
      </c>
      <c r="H29" s="5">
        <f t="shared" si="2"/>
        <v>0.59986000000000028</v>
      </c>
    </row>
    <row r="30" spans="1:11">
      <c r="A30" s="3">
        <v>0.8</v>
      </c>
      <c r="B30" s="4">
        <f>A30*$K$22+$K$23</f>
        <v>0.53399999999999992</v>
      </c>
      <c r="C30" s="4">
        <f t="shared" si="0"/>
        <v>0.53399999999999992</v>
      </c>
      <c r="D30" s="4">
        <f>A30*$K$24+$K$25</f>
        <v>1.8340000000000001</v>
      </c>
      <c r="E30" s="4">
        <f t="shared" si="1"/>
        <v>1.8340000000000001</v>
      </c>
      <c r="F30" s="4">
        <f>C30*K$26</f>
        <v>-2.0772599999999999</v>
      </c>
      <c r="G30" s="4">
        <f>E30*K$27</f>
        <v>2.4759000000000002</v>
      </c>
      <c r="H30" s="5">
        <f t="shared" si="2"/>
        <v>0.39864000000000033</v>
      </c>
    </row>
    <row r="31" spans="1:11">
      <c r="A31" s="3">
        <v>0.9</v>
      </c>
      <c r="B31" s="4">
        <f>A31*$K$22+$K$23</f>
        <v>0.67699999999999994</v>
      </c>
      <c r="C31" s="4">
        <f t="shared" si="0"/>
        <v>0.67699999999999994</v>
      </c>
      <c r="D31" s="4">
        <f>A31*$K$24+$K$25</f>
        <v>2.097</v>
      </c>
      <c r="E31" s="4">
        <f t="shared" si="1"/>
        <v>2.097</v>
      </c>
      <c r="F31" s="4">
        <f>C31*K$26</f>
        <v>-2.6335299999999999</v>
      </c>
      <c r="G31" s="4">
        <f>E31*K$27</f>
        <v>2.8309500000000001</v>
      </c>
      <c r="H31" s="5">
        <f t="shared" si="2"/>
        <v>0.19742000000000015</v>
      </c>
    </row>
    <row r="32" spans="1:11">
      <c r="A32" s="3">
        <v>1</v>
      </c>
      <c r="B32" s="4">
        <f>A32*$K$22+$K$23</f>
        <v>0.82</v>
      </c>
      <c r="C32" s="4">
        <f t="shared" si="0"/>
        <v>0.82</v>
      </c>
      <c r="D32" s="4">
        <f>A32*$K$24+$K$25</f>
        <v>2.36</v>
      </c>
      <c r="E32" s="4">
        <f t="shared" si="1"/>
        <v>2.36</v>
      </c>
      <c r="F32" s="4">
        <f>C32*K$26</f>
        <v>-3.1898</v>
      </c>
      <c r="G32" s="4">
        <f>E32*K$27</f>
        <v>3.1859999999999999</v>
      </c>
      <c r="H32" s="5">
        <f t="shared" si="2"/>
        <v>-3.8000000000000256E-3</v>
      </c>
    </row>
    <row r="40" spans="1:1">
      <c r="A40" s="7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B3A3-3A82-40B9-BDEC-A509D3B6E410}">
  <dimension ref="D14:D23"/>
  <sheetViews>
    <sheetView workbookViewId="0">
      <selection activeCell="E14" sqref="E14:F23"/>
    </sheetView>
  </sheetViews>
  <sheetFormatPr defaultRowHeight="15"/>
  <sheetData>
    <row r="14" spans="4:4">
      <c r="D14" s="8" t="s">
        <v>25</v>
      </c>
    </row>
    <row r="15" spans="4:4">
      <c r="D15">
        <v>1</v>
      </c>
    </row>
    <row r="16" spans="4:4">
      <c r="D16">
        <v>2</v>
      </c>
    </row>
    <row r="17" spans="4:4">
      <c r="D17">
        <v>3</v>
      </c>
    </row>
    <row r="18" spans="4:4">
      <c r="D18">
        <v>4</v>
      </c>
    </row>
    <row r="19" spans="4:4">
      <c r="D19">
        <v>5</v>
      </c>
    </row>
    <row r="20" spans="4:4">
      <c r="D20">
        <v>6</v>
      </c>
    </row>
    <row r="21" spans="4:4">
      <c r="D21">
        <v>7</v>
      </c>
    </row>
    <row r="22" spans="4:4">
      <c r="D22">
        <v>8</v>
      </c>
    </row>
    <row r="23" spans="4:4">
      <c r="D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Piotr Kuterba</cp:lastModifiedBy>
  <cp:revision/>
  <dcterms:created xsi:type="dcterms:W3CDTF">2025-11-29T15:18:47Z</dcterms:created>
  <dcterms:modified xsi:type="dcterms:W3CDTF">2025-11-30T13:41:18Z</dcterms:modified>
  <cp:category/>
  <cp:contentStatus/>
</cp:coreProperties>
</file>